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oniamannepuli\Downloads\"/>
    </mc:Choice>
  </mc:AlternateContent>
  <xr:revisionPtr revIDLastSave="0" documentId="8_{026B9EE7-A9CE-4CBE-8378-45E3197D03F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shboard_Summary" sheetId="1" r:id="rId1"/>
    <sheet name="Pivot_Analysis" sheetId="6" r:id="rId2"/>
    <sheet name="Data_Sour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H4" i="1" s="1"/>
  <c r="D4" i="1"/>
  <c r="F4" i="1" l="1"/>
</calcChain>
</file>

<file path=xl/sharedStrings.xml><?xml version="1.0" encoding="utf-8"?>
<sst xmlns="http://schemas.openxmlformats.org/spreadsheetml/2006/main" count="113" uniqueCount="69">
  <si>
    <t>E-COMMERCE ENTERPRISE PERFORMANCE DASHBOARD</t>
  </si>
  <si>
    <t>TOTAL REVENUE</t>
  </si>
  <si>
    <t>TOTAL ORDERS</t>
  </si>
  <si>
    <t>AVERAGE ORDER VALUE</t>
  </si>
  <si>
    <t>GOLD TIER DEPENDENCY</t>
  </si>
  <si>
    <t>Enterprise Performance Charts &amp; Insights</t>
  </si>
  <si>
    <t>Executive Action &amp; Tactical Directives Table</t>
  </si>
  <si>
    <t>Strategic Focus</t>
  </si>
  <si>
    <t>Key Metric</t>
  </si>
  <si>
    <t>Data-Backed Recommendation</t>
  </si>
  <si>
    <t>VIP Customer Insulation</t>
  </si>
  <si>
    <t>66.3% Revenue Share</t>
  </si>
  <si>
    <t>The Gold tier contains only 815 high-value users but controls $3.2M in total spend. Deploy a dedicated loyalty insulation framework immediately to mitigate attrition risks.</t>
  </si>
  <si>
    <t>Portfolio Realignment</t>
  </si>
  <si>
    <t>Electronics Dominance ($1.93M)</t>
  </si>
  <si>
    <t>Electronics and Automotive drive over 62% of portfolio revenue, while Books and Groceries drop below 3%. Reallocate 40% of digital marketing spend to maximize tech conversion yield.</t>
  </si>
  <si>
    <t>Operational Capacity Planning</t>
  </si>
  <si>
    <t>High Volume Synchronicity</t>
  </si>
  <si>
    <t>Order counts match financial revenue peaks perfectly, led by the March 2024 surge ($269K / 426 orders). Restock inventory cycles to match the baseline demand of $210.4K/month to safeguard working cash flow.</t>
  </si>
  <si>
    <t>Month-over-Month Trends</t>
  </si>
  <si>
    <t>Category Performance</t>
  </si>
  <si>
    <t>Customer Segmentation</t>
  </si>
  <si>
    <t>Month</t>
  </si>
  <si>
    <t>Monthly Revenue</t>
  </si>
  <si>
    <t>Category</t>
  </si>
  <si>
    <t>Total Revenue</t>
  </si>
  <si>
    <t>Segment</t>
  </si>
  <si>
    <t>Customer Count</t>
  </si>
  <si>
    <t>2024-01</t>
  </si>
  <si>
    <t>Electronics</t>
  </si>
  <si>
    <t>Gold</t>
  </si>
  <si>
    <t>2024-02</t>
  </si>
  <si>
    <t>Automotive</t>
  </si>
  <si>
    <t>Silver</t>
  </si>
  <si>
    <t>2024-03</t>
  </si>
  <si>
    <t>Home &amp; Kitchen</t>
  </si>
  <si>
    <t>Bronze</t>
  </si>
  <si>
    <t>2024-04</t>
  </si>
  <si>
    <t>Sports</t>
  </si>
  <si>
    <t>2024-05</t>
  </si>
  <si>
    <t>Clothing</t>
  </si>
  <si>
    <t>2024-06</t>
  </si>
  <si>
    <t>Beauty</t>
  </si>
  <si>
    <t>2024-07</t>
  </si>
  <si>
    <t>Toys</t>
  </si>
  <si>
    <t>2024-08</t>
  </si>
  <si>
    <t>Pet Supplies</t>
  </si>
  <si>
    <t>2024-09</t>
  </si>
  <si>
    <t>Books</t>
  </si>
  <si>
    <t>2024-10</t>
  </si>
  <si>
    <t>Groceries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</si>
  <si>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</si>
  <si>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</si>
  <si>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</si>
  <si>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</si>
  <si>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</si>
  <si>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</si>
  <si>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</si>
  <si>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</si>
  <si>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</si>
  <si>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</si>
  <si>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</si>
  <si>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</si>
  <si>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</si>
  <si>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Orders</t>
  </si>
  <si>
    <t>Month-over-Months Trends</t>
  </si>
  <si>
    <t>Category Perfromance</t>
  </si>
  <si>
    <t xml:space="preserve">Category </t>
  </si>
  <si>
    <t>Customer Segementation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</si>
</sst>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\$#,##0.00"/>
    <numFmt numFmtId="165" formatCode="0.0%"/>
    <numFmt numFmtId="168" formatCode="&quot;$&quot;#,##0.00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theme="0"/>
      <name val="Calibri"/>
      <family val="2"/>
      <scheme val="minor"/>
    </font>
    <font>
      <b/>
      <sz val="14"/>
      <color theme="3" tint="-0.499984740745262"/>
      <name val="Calibri"/>
      <family val="2"/>
      <scheme val="minor"/>
    </font>
    <font>
      <b/>
      <sz val="16"/>
      <color theme="4" tint="-0.499984740745262"/>
      <name val="Calibri"/>
      <family val="2"/>
    </font>
    <font>
      <b/>
      <sz val="16"/>
      <color rgb="FF002060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44" fontId="4" fillId="0" borderId="0" applyFont="0" applyFill="0" applyBorder="0" applyAlignment="0" applyProtection="0"/>
    <xf numFmtId="0" fontId="5" fillId="4" borderId="2" applyNumberFormat="0" applyAlignment="0" applyProtection="0"/>
    <xf numFmtId="0" fontId="6" fillId="5" borderId="0" applyNumberFormat="0" applyBorder="0" applyAlignment="0" applyProtection="0"/>
    <xf numFmtId="0" fontId="4" fillId="6" borderId="0" applyNumberFormat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8" fillId="5" borderId="0" xfId="3" applyFont="1" applyAlignment="1">
      <alignment horizontal="left" vertical="center" indent="48"/>
    </xf>
    <xf numFmtId="0" fontId="6" fillId="5" borderId="0" xfId="3" applyAlignment="1">
      <alignment horizontal="left" indent="48"/>
    </xf>
    <xf numFmtId="0" fontId="0" fillId="0" borderId="0" xfId="0" applyAlignment="1">
      <alignment horizontal="center"/>
    </xf>
    <xf numFmtId="0" fontId="0" fillId="0" borderId="0" xfId="0" applyAlignment="1"/>
    <xf numFmtId="164" fontId="9" fillId="7" borderId="2" xfId="2" applyNumberFormat="1" applyFont="1" applyFill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7" fillId="2" borderId="0" xfId="0" applyFont="1" applyFill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5" fillId="0" borderId="0" xfId="0" applyFont="1"/>
    <xf numFmtId="0" fontId="4" fillId="6" borderId="0" xfId="4"/>
    <xf numFmtId="0" fontId="14" fillId="6" borderId="0" xfId="4" applyFont="1"/>
    <xf numFmtId="168" fontId="0" fillId="0" borderId="0" xfId="1" applyNumberFormat="1" applyFont="1"/>
    <xf numFmtId="168" fontId="0" fillId="0" borderId="0" xfId="0" applyNumberFormat="1"/>
    <xf numFmtId="0" fontId="16" fillId="0" borderId="0" xfId="0" applyFont="1"/>
  </cellXfs>
  <cellStyles count="5">
    <cellStyle name="20% - Accent2" xfId="4" builtinId="34"/>
    <cellStyle name="Accent1" xfId="3" builtinId="29"/>
    <cellStyle name="Calculation" xfId="2" builtinId="22"/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Revenue Growth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B0C-4039-9113-02D2AA43F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sz="1400"/>
                  <a:t>Timeline</a:t>
                </a:r>
              </a:p>
            </c:rich>
          </c:tx>
          <c:layout>
            <c:manualLayout>
              <c:xMode val="edge"/>
              <c:yMode val="edge"/>
              <c:x val="0.50923385416666667"/>
              <c:y val="0.9255991666666665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Revenue by Product Category</a:t>
            </a:r>
          </a:p>
        </c:rich>
      </c:tx>
      <c:layout>
        <c:manualLayout>
          <c:xMode val="edge"/>
          <c:yMode val="edge"/>
          <c:x val="0.24002482638888889"/>
          <c:y val="0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18D-4B81-8A15-168C1B57F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1200"/>
                  <a:t>Category</a:t>
                </a:r>
              </a:p>
            </c:rich>
          </c:tx>
          <c:layout>
            <c:manualLayout>
              <c:xMode val="edge"/>
              <c:yMode val="edge"/>
              <c:x val="0.50108993055555551"/>
              <c:y val="0.9165680555555556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Physical Transactional Volume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5CC-4B57-AB7D-533B33624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sz="1400"/>
                  <a:t>Timeline</a:t>
                </a:r>
              </a:p>
            </c:rich>
          </c:tx>
          <c:layout>
            <c:manualLayout>
              <c:xMode val="edge"/>
              <c:yMode val="edge"/>
              <c:x val="0.48541284722222222"/>
              <c:y val="0.9185436111111109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Orders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5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Revenue Contribution by Segment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0C5-4CA5-ABB2-47D639D89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sz="1200"/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1935480</xdr:colOff>
      <xdr:row>7</xdr:row>
      <xdr:rowOff>0</xdr:rowOff>
    </xdr:from>
    <xdr:ext cx="576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22860</xdr:colOff>
      <xdr:row>26</xdr:row>
      <xdr:rowOff>129540</xdr:rowOff>
    </xdr:from>
    <xdr:ext cx="5745480" cy="36347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1950720</xdr:colOff>
      <xdr:row>26</xdr:row>
      <xdr:rowOff>129540</xdr:rowOff>
    </xdr:from>
    <xdr:ext cx="5760000" cy="36576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opLeftCell="B30" workbookViewId="0">
      <selection sqref="A1:I1"/>
    </sheetView>
  </sheetViews>
  <sheetFormatPr defaultRowHeight="14.4" x14ac:dyDescent="0.3"/>
  <cols>
    <col min="1" max="1" width="3" customWidth="1"/>
    <col min="2" max="2" width="55.77734375" customWidth="1"/>
    <col min="3" max="3" width="28.5546875" bestFit="1" customWidth="1"/>
    <col min="4" max="4" width="42.77734375" customWidth="1"/>
    <col min="5" max="5" width="5" customWidth="1"/>
    <col min="6" max="6" width="25" customWidth="1"/>
    <col min="7" max="7" width="20" customWidth="1"/>
    <col min="8" max="8" width="25" customWidth="1"/>
    <col min="9" max="9" width="50" customWidth="1"/>
  </cols>
  <sheetData>
    <row r="1" spans="1:9" ht="40.049999999999997" customHeight="1" x14ac:dyDescent="0.3">
      <c r="A1" s="4" t="s">
        <v>0</v>
      </c>
      <c r="B1" s="5"/>
      <c r="C1" s="5"/>
      <c r="D1" s="5"/>
      <c r="E1" s="5"/>
      <c r="F1" s="5"/>
      <c r="G1" s="5"/>
      <c r="H1" s="5"/>
      <c r="I1" s="5"/>
    </row>
    <row r="3" spans="1:9" ht="15" customHeight="1" x14ac:dyDescent="0.3">
      <c r="B3" s="6" t="s">
        <v>1</v>
      </c>
      <c r="D3" s="6" t="s">
        <v>2</v>
      </c>
      <c r="F3" s="7" t="s">
        <v>3</v>
      </c>
      <c r="H3" t="s">
        <v>4</v>
      </c>
    </row>
    <row r="4" spans="1:9" ht="25.05" customHeight="1" x14ac:dyDescent="0.3">
      <c r="B4" s="8" t="e">
        <f>SUM(#REF!)</f>
        <v>#REF!</v>
      </c>
      <c r="D4" s="9" t="e">
        <f>SUM(#REF!)</f>
        <v>#REF!</v>
      </c>
      <c r="F4" s="10" t="e">
        <f>B4/D4</f>
        <v>#REF!</v>
      </c>
      <c r="H4" s="11" t="e">
        <f>#REF!/B4</f>
        <v>#REF!</v>
      </c>
    </row>
    <row r="6" spans="1:9" ht="21" x14ac:dyDescent="0.4">
      <c r="B6" s="12" t="s">
        <v>5</v>
      </c>
    </row>
    <row r="48" spans="2:2" ht="21" x14ac:dyDescent="0.4">
      <c r="B48" s="12" t="s">
        <v>6</v>
      </c>
    </row>
    <row r="50" spans="2:4" x14ac:dyDescent="0.3">
      <c r="B50" s="13" t="s">
        <v>7</v>
      </c>
      <c r="C50" s="1" t="s">
        <v>8</v>
      </c>
      <c r="D50" s="1" t="s">
        <v>9</v>
      </c>
    </row>
    <row r="51" spans="2:4" ht="57.6" x14ac:dyDescent="0.3">
      <c r="B51" s="2" t="s">
        <v>10</v>
      </c>
      <c r="C51" s="2" t="s">
        <v>11</v>
      </c>
      <c r="D51" s="3" t="s">
        <v>12</v>
      </c>
    </row>
    <row r="52" spans="2:4" ht="72" x14ac:dyDescent="0.3">
      <c r="B52" s="2" t="s">
        <v>13</v>
      </c>
      <c r="C52" s="2" t="s">
        <v>14</v>
      </c>
      <c r="D52" s="3" t="s">
        <v>15</v>
      </c>
    </row>
    <row r="53" spans="2:4" ht="72" x14ac:dyDescent="0.3">
      <c r="B53" s="2" t="s">
        <v>16</v>
      </c>
      <c r="C53" s="2" t="s">
        <v>17</v>
      </c>
      <c r="D53" s="3" t="s">
        <v>18</v>
      </c>
    </row>
  </sheetData>
  <mergeCells count="1">
    <mergeCell ref="A1:I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9B7D-215C-4ED0-8746-0D96BEE93532}">
  <dimension ref="A1:K25"/>
  <sheetViews>
    <sheetView tabSelected="1" workbookViewId="0">
      <selection activeCell="I6" sqref="I6"/>
    </sheetView>
  </sheetViews>
  <sheetFormatPr defaultRowHeight="14.4" x14ac:dyDescent="0.3"/>
  <cols>
    <col min="1" max="1" width="7.6640625" bestFit="1" customWidth="1"/>
    <col min="2" max="2" width="6.5546875" bestFit="1" customWidth="1"/>
    <col min="3" max="3" width="17.6640625" bestFit="1" customWidth="1"/>
    <col min="6" max="6" width="29.88671875" bestFit="1" customWidth="1"/>
    <col min="7" max="7" width="14.44140625" bestFit="1" customWidth="1"/>
    <col min="9" max="9" width="33.5546875" bestFit="1" customWidth="1"/>
    <col min="10" max="10" width="16.109375" customWidth="1"/>
    <col min="11" max="11" width="13.88671875" customWidth="1"/>
  </cols>
  <sheetData>
    <row r="1" spans="1:11" ht="21" x14ac:dyDescent="0.4">
      <c r="A1" s="16" t="s">
        <v>65</v>
      </c>
      <c r="F1" s="21" t="s">
        <v>66</v>
      </c>
      <c r="I1" s="21" t="s">
        <v>68</v>
      </c>
    </row>
    <row r="2" spans="1:11" ht="15.6" x14ac:dyDescent="0.3">
      <c r="A2" s="18" t="s">
        <v>22</v>
      </c>
      <c r="B2" s="18" t="s">
        <v>22</v>
      </c>
      <c r="C2" s="18" t="s">
        <v>23</v>
      </c>
      <c r="F2" s="18" t="s">
        <v>67</v>
      </c>
      <c r="G2" s="18" t="s">
        <v>25</v>
      </c>
      <c r="I2" s="17" t="s">
        <v>26</v>
      </c>
      <c r="J2" s="17" t="s">
        <v>27</v>
      </c>
      <c r="K2" s="17" t="s">
        <v>25</v>
      </c>
    </row>
    <row r="3" spans="1:11" x14ac:dyDescent="0.3">
      <c r="A3" t="s">
        <v>28</v>
      </c>
      <c r="B3">
        <v>334</v>
      </c>
      <c r="C3" s="19">
        <v>190859.32</v>
      </c>
      <c r="F3" t="s">
        <v>29</v>
      </c>
      <c r="G3" s="20">
        <v>1932679.21</v>
      </c>
      <c r="I3" t="s">
        <v>30</v>
      </c>
      <c r="J3">
        <v>815</v>
      </c>
      <c r="K3" s="20">
        <v>3606824.4</v>
      </c>
    </row>
    <row r="4" spans="1:11" x14ac:dyDescent="0.3">
      <c r="A4" t="s">
        <v>31</v>
      </c>
      <c r="B4">
        <v>294</v>
      </c>
      <c r="C4" s="19">
        <v>146638.70000000001</v>
      </c>
      <c r="F4" t="s">
        <v>32</v>
      </c>
      <c r="G4" s="20">
        <v>1089906.76</v>
      </c>
      <c r="I4" t="s">
        <v>33</v>
      </c>
      <c r="J4">
        <v>1267</v>
      </c>
      <c r="K4" s="20">
        <v>1361729.78</v>
      </c>
    </row>
    <row r="5" spans="1:11" x14ac:dyDescent="0.3">
      <c r="A5" t="s">
        <v>34</v>
      </c>
      <c r="B5">
        <v>426</v>
      </c>
      <c r="C5" s="19">
        <v>269139.06</v>
      </c>
      <c r="F5" t="s">
        <v>35</v>
      </c>
      <c r="G5" s="20">
        <v>472189.34</v>
      </c>
      <c r="I5" t="s">
        <v>36</v>
      </c>
      <c r="J5">
        <v>1238</v>
      </c>
      <c r="K5" s="20">
        <v>270870.7</v>
      </c>
    </row>
    <row r="6" spans="1:11" x14ac:dyDescent="0.3">
      <c r="A6" t="s">
        <v>37</v>
      </c>
      <c r="B6">
        <v>380</v>
      </c>
      <c r="C6" s="19">
        <v>207221.12</v>
      </c>
      <c r="F6" t="s">
        <v>38</v>
      </c>
      <c r="G6" s="20">
        <v>386730.86</v>
      </c>
    </row>
    <row r="7" spans="1:11" x14ac:dyDescent="0.3">
      <c r="A7" t="s">
        <v>39</v>
      </c>
      <c r="B7">
        <v>338</v>
      </c>
      <c r="C7" s="19">
        <v>230499.04</v>
      </c>
      <c r="F7" t="s">
        <v>40</v>
      </c>
      <c r="G7" s="20">
        <v>286953.02</v>
      </c>
    </row>
    <row r="8" spans="1:11" x14ac:dyDescent="0.3">
      <c r="A8" t="s">
        <v>41</v>
      </c>
      <c r="B8">
        <v>382</v>
      </c>
      <c r="C8" s="20">
        <v>253100.58</v>
      </c>
      <c r="F8" t="s">
        <v>42</v>
      </c>
      <c r="G8" s="20">
        <v>229816.8</v>
      </c>
    </row>
    <row r="9" spans="1:11" x14ac:dyDescent="0.3">
      <c r="A9" t="s">
        <v>43</v>
      </c>
      <c r="B9">
        <v>372</v>
      </c>
      <c r="C9" s="20">
        <v>217270.32</v>
      </c>
      <c r="F9" t="s">
        <v>44</v>
      </c>
      <c r="G9" s="20">
        <v>162493.84</v>
      </c>
    </row>
    <row r="10" spans="1:11" x14ac:dyDescent="0.3">
      <c r="A10" t="s">
        <v>45</v>
      </c>
      <c r="B10">
        <v>380</v>
      </c>
      <c r="C10" s="20">
        <v>183031.52</v>
      </c>
      <c r="F10" t="s">
        <v>46</v>
      </c>
      <c r="G10" s="20">
        <v>139072.56</v>
      </c>
    </row>
    <row r="11" spans="1:11" x14ac:dyDescent="0.3">
      <c r="A11" t="s">
        <v>47</v>
      </c>
      <c r="B11">
        <v>336</v>
      </c>
      <c r="C11" s="20">
        <v>192177.9</v>
      </c>
      <c r="F11" t="s">
        <v>48</v>
      </c>
      <c r="G11" s="20">
        <v>106356.28</v>
      </c>
    </row>
    <row r="12" spans="1:11" x14ac:dyDescent="0.3">
      <c r="A12" t="s">
        <v>49</v>
      </c>
      <c r="B12">
        <v>370</v>
      </c>
      <c r="C12" s="20">
        <v>227594.84</v>
      </c>
      <c r="F12" t="s">
        <v>50</v>
      </c>
      <c r="G12" s="20">
        <v>33226.480000000003</v>
      </c>
    </row>
    <row r="13" spans="1:11" x14ac:dyDescent="0.3">
      <c r="A13" t="s">
        <v>51</v>
      </c>
      <c r="B13">
        <v>328</v>
      </c>
      <c r="C13" s="20">
        <v>197659.32</v>
      </c>
    </row>
    <row r="14" spans="1:11" x14ac:dyDescent="0.3">
      <c r="A14" t="s">
        <v>52</v>
      </c>
      <c r="B14">
        <v>330</v>
      </c>
      <c r="C14" s="20">
        <v>218295.34</v>
      </c>
    </row>
    <row r="15" spans="1:11" x14ac:dyDescent="0.3">
      <c r="A15" t="s">
        <v>53</v>
      </c>
      <c r="B15">
        <v>334</v>
      </c>
      <c r="C15" s="20">
        <v>169065.12</v>
      </c>
    </row>
    <row r="16" spans="1:11" x14ac:dyDescent="0.3">
      <c r="A16" t="s">
        <v>54</v>
      </c>
      <c r="B16">
        <v>340</v>
      </c>
      <c r="C16" s="20">
        <v>219221.42</v>
      </c>
    </row>
    <row r="17" spans="1:3" x14ac:dyDescent="0.3">
      <c r="A17" t="s">
        <v>55</v>
      </c>
      <c r="B17">
        <v>330</v>
      </c>
      <c r="C17" s="20">
        <v>163492.26</v>
      </c>
    </row>
    <row r="18" spans="1:3" x14ac:dyDescent="0.3">
      <c r="A18" t="s">
        <v>56</v>
      </c>
      <c r="B18">
        <v>362</v>
      </c>
      <c r="C18" s="20">
        <v>229531.3</v>
      </c>
    </row>
    <row r="19" spans="1:3" x14ac:dyDescent="0.3">
      <c r="A19" t="s">
        <v>57</v>
      </c>
      <c r="B19">
        <v>374</v>
      </c>
      <c r="C19" s="20">
        <v>253818.82</v>
      </c>
    </row>
    <row r="20" spans="1:3" x14ac:dyDescent="0.3">
      <c r="A20" t="s">
        <v>58</v>
      </c>
      <c r="B20">
        <v>390</v>
      </c>
      <c r="C20" s="20">
        <v>232326.98</v>
      </c>
    </row>
    <row r="21" spans="1:3" x14ac:dyDescent="0.3">
      <c r="A21" t="s">
        <v>59</v>
      </c>
      <c r="B21">
        <v>344</v>
      </c>
      <c r="C21" s="20">
        <v>223853.02</v>
      </c>
    </row>
    <row r="22" spans="1:3" x14ac:dyDescent="0.3">
      <c r="A22" t="s">
        <v>60</v>
      </c>
      <c r="B22">
        <v>384</v>
      </c>
      <c r="C22" s="20">
        <v>218874.94</v>
      </c>
    </row>
    <row r="23" spans="1:3" x14ac:dyDescent="0.3">
      <c r="A23" t="s">
        <v>61</v>
      </c>
      <c r="B23">
        <v>362</v>
      </c>
      <c r="C23" s="20">
        <v>231485.58</v>
      </c>
    </row>
    <row r="24" spans="1:3" x14ac:dyDescent="0.3">
      <c r="A24" t="s">
        <v>62</v>
      </c>
      <c r="B24">
        <v>370</v>
      </c>
      <c r="C24" s="20">
        <v>222987.42</v>
      </c>
    </row>
    <row r="25" spans="1:3" x14ac:dyDescent="0.3">
      <c r="A25" t="s">
        <v>63</v>
      </c>
      <c r="B25">
        <v>182</v>
      </c>
      <c r="C25" s="20">
        <v>141281.24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selection activeCell="B32" sqref="B32"/>
    </sheetView>
  </sheetViews>
  <sheetFormatPr defaultRowHeight="14.4" x14ac:dyDescent="0.3"/>
  <cols>
    <col min="1" max="1" width="30.77734375" customWidth="1"/>
    <col min="2" max="2" width="15" customWidth="1"/>
    <col min="3" max="3" width="18" customWidth="1"/>
    <col min="4" max="4" width="12" customWidth="1"/>
    <col min="5" max="5" width="29.77734375" customWidth="1"/>
    <col min="6" max="6" width="16" customWidth="1"/>
    <col min="7" max="7" width="12" customWidth="1"/>
    <col min="8" max="8" width="32" bestFit="1" customWidth="1"/>
    <col min="9" max="9" width="17" customWidth="1"/>
    <col min="10" max="10" width="16" customWidth="1"/>
  </cols>
  <sheetData>
    <row r="1" spans="1:10" ht="21" x14ac:dyDescent="0.4">
      <c r="A1" s="14" t="s">
        <v>19</v>
      </c>
      <c r="E1" s="15" t="s">
        <v>20</v>
      </c>
      <c r="H1" s="15" t="s">
        <v>21</v>
      </c>
    </row>
    <row r="2" spans="1:10" ht="15.6" x14ac:dyDescent="0.3">
      <c r="A2" s="18" t="s">
        <v>22</v>
      </c>
      <c r="B2" s="18" t="s">
        <v>64</v>
      </c>
      <c r="C2" s="18" t="s">
        <v>23</v>
      </c>
      <c r="E2" s="18" t="s">
        <v>24</v>
      </c>
      <c r="F2" s="18" t="s">
        <v>25</v>
      </c>
      <c r="H2" s="18" t="s">
        <v>26</v>
      </c>
      <c r="I2" s="18" t="s">
        <v>27</v>
      </c>
      <c r="J2" s="18" t="s">
        <v>25</v>
      </c>
    </row>
    <row r="3" spans="1:10" x14ac:dyDescent="0.3">
      <c r="A3" t="s">
        <v>28</v>
      </c>
      <c r="B3">
        <v>334</v>
      </c>
      <c r="C3">
        <v>190859.32</v>
      </c>
      <c r="E3" t="s">
        <v>29</v>
      </c>
      <c r="F3">
        <v>1932679.21</v>
      </c>
      <c r="H3" t="s">
        <v>30</v>
      </c>
      <c r="I3">
        <v>815</v>
      </c>
      <c r="J3">
        <v>3206824.4</v>
      </c>
    </row>
    <row r="4" spans="1:10" x14ac:dyDescent="0.3">
      <c r="A4" t="s">
        <v>31</v>
      </c>
      <c r="B4">
        <v>294</v>
      </c>
      <c r="C4">
        <v>146638.70000000001</v>
      </c>
      <c r="E4" t="s">
        <v>32</v>
      </c>
      <c r="F4">
        <v>1089906.76</v>
      </c>
      <c r="H4" t="s">
        <v>33</v>
      </c>
      <c r="I4">
        <v>1267</v>
      </c>
      <c r="J4">
        <v>1361729.78</v>
      </c>
    </row>
    <row r="5" spans="1:10" x14ac:dyDescent="0.3">
      <c r="A5" t="s">
        <v>34</v>
      </c>
      <c r="B5">
        <v>426</v>
      </c>
      <c r="C5">
        <v>269139.06</v>
      </c>
      <c r="E5" t="s">
        <v>35</v>
      </c>
      <c r="F5">
        <v>472189.34</v>
      </c>
      <c r="H5" t="s">
        <v>36</v>
      </c>
      <c r="I5">
        <v>1238</v>
      </c>
      <c r="J5">
        <v>270870.98</v>
      </c>
    </row>
    <row r="6" spans="1:10" x14ac:dyDescent="0.3">
      <c r="A6" t="s">
        <v>37</v>
      </c>
      <c r="B6">
        <v>380</v>
      </c>
      <c r="C6">
        <v>207221.12</v>
      </c>
      <c r="E6" t="s">
        <v>38</v>
      </c>
      <c r="F6">
        <v>386730.86</v>
      </c>
    </row>
    <row r="7" spans="1:10" x14ac:dyDescent="0.3">
      <c r="A7" t="s">
        <v>39</v>
      </c>
      <c r="B7">
        <v>338</v>
      </c>
      <c r="C7">
        <v>230499.04</v>
      </c>
      <c r="E7" t="s">
        <v>40</v>
      </c>
      <c r="F7">
        <v>286953.02</v>
      </c>
    </row>
    <row r="8" spans="1:10" x14ac:dyDescent="0.3">
      <c r="A8" t="s">
        <v>41</v>
      </c>
      <c r="B8">
        <v>382</v>
      </c>
      <c r="C8">
        <v>253100.58</v>
      </c>
      <c r="E8" t="s">
        <v>42</v>
      </c>
      <c r="F8">
        <v>229816.8</v>
      </c>
    </row>
    <row r="9" spans="1:10" x14ac:dyDescent="0.3">
      <c r="A9" t="s">
        <v>43</v>
      </c>
      <c r="B9">
        <v>372</v>
      </c>
      <c r="C9">
        <v>217270.32</v>
      </c>
      <c r="E9" t="s">
        <v>44</v>
      </c>
      <c r="F9">
        <v>162493.84</v>
      </c>
    </row>
    <row r="10" spans="1:10" x14ac:dyDescent="0.3">
      <c r="A10" t="s">
        <v>45</v>
      </c>
      <c r="B10">
        <v>380</v>
      </c>
      <c r="C10">
        <v>183031.52</v>
      </c>
      <c r="E10" t="s">
        <v>46</v>
      </c>
      <c r="F10">
        <v>139072.56</v>
      </c>
    </row>
    <row r="11" spans="1:10" x14ac:dyDescent="0.3">
      <c r="A11" t="s">
        <v>47</v>
      </c>
      <c r="B11">
        <v>336</v>
      </c>
      <c r="C11">
        <v>192177.9</v>
      </c>
      <c r="E11" t="s">
        <v>48</v>
      </c>
      <c r="F11">
        <v>106356.28</v>
      </c>
    </row>
    <row r="12" spans="1:10" x14ac:dyDescent="0.3">
      <c r="A12" t="s">
        <v>49</v>
      </c>
      <c r="B12">
        <v>370</v>
      </c>
      <c r="C12">
        <v>227594.84</v>
      </c>
      <c r="E12" t="s">
        <v>50</v>
      </c>
      <c r="F12">
        <v>33226.480000000003</v>
      </c>
    </row>
    <row r="13" spans="1:10" x14ac:dyDescent="0.3">
      <c r="A13" t="s">
        <v>51</v>
      </c>
      <c r="B13">
        <v>328</v>
      </c>
      <c r="C13">
        <v>197659.32</v>
      </c>
    </row>
    <row r="14" spans="1:10" x14ac:dyDescent="0.3">
      <c r="A14" t="s">
        <v>52</v>
      </c>
      <c r="B14">
        <v>330</v>
      </c>
      <c r="C14">
        <v>218295.34</v>
      </c>
    </row>
    <row r="15" spans="1:10" x14ac:dyDescent="0.3">
      <c r="A15" t="s">
        <v>53</v>
      </c>
      <c r="B15">
        <v>334</v>
      </c>
      <c r="C15">
        <v>169065.12</v>
      </c>
    </row>
    <row r="16" spans="1:10" x14ac:dyDescent="0.3">
      <c r="A16" t="s">
        <v>54</v>
      </c>
      <c r="B16">
        <v>340</v>
      </c>
      <c r="C16">
        <v>219221.42</v>
      </c>
    </row>
    <row r="17" spans="1:3" x14ac:dyDescent="0.3">
      <c r="A17" t="s">
        <v>55</v>
      </c>
      <c r="B17">
        <v>330</v>
      </c>
      <c r="C17">
        <v>163492.26</v>
      </c>
    </row>
    <row r="18" spans="1:3" x14ac:dyDescent="0.3">
      <c r="A18" t="s">
        <v>56</v>
      </c>
      <c r="B18">
        <v>362</v>
      </c>
      <c r="C18">
        <v>229531.3</v>
      </c>
    </row>
    <row r="19" spans="1:3" x14ac:dyDescent="0.3">
      <c r="A19" t="s">
        <v>57</v>
      </c>
      <c r="B19">
        <v>374</v>
      </c>
      <c r="C19">
        <v>253818.82</v>
      </c>
    </row>
    <row r="20" spans="1:3" x14ac:dyDescent="0.3">
      <c r="A20" t="s">
        <v>58</v>
      </c>
      <c r="B20">
        <v>390</v>
      </c>
      <c r="C20">
        <v>232326.98</v>
      </c>
    </row>
    <row r="21" spans="1:3" x14ac:dyDescent="0.3">
      <c r="A21" t="s">
        <v>59</v>
      </c>
      <c r="B21">
        <v>344</v>
      </c>
      <c r="C21">
        <v>223853.02</v>
      </c>
    </row>
    <row r="22" spans="1:3" x14ac:dyDescent="0.3">
      <c r="A22" t="s">
        <v>60</v>
      </c>
      <c r="B22">
        <v>384</v>
      </c>
      <c r="C22">
        <v>218874.94</v>
      </c>
    </row>
    <row r="23" spans="1:3" x14ac:dyDescent="0.3">
      <c r="A23" t="s">
        <v>61</v>
      </c>
      <c r="B23">
        <v>362</v>
      </c>
      <c r="C23">
        <v>231485.58</v>
      </c>
    </row>
    <row r="24" spans="1:3" x14ac:dyDescent="0.3">
      <c r="A24" t="s">
        <v>62</v>
      </c>
      <c r="B24">
        <v>370</v>
      </c>
      <c r="C24">
        <v>222987.42</v>
      </c>
    </row>
    <row r="25" spans="1:3" x14ac:dyDescent="0.3">
      <c r="A25" t="s">
        <v>63</v>
      </c>
      <c r="B25">
        <v>182</v>
      </c>
      <c r="C25">
        <v>141281.24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Dashboard_Summary</vt:lpstr>
      <vt:lpstr>Pivot_Analysis</vt:lpstr>
      <vt:lpstr>Data_Source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Sonia Mannepuli</cp:lastModifiedBy>
  <dcterms:created xsi:type="dcterms:W3CDTF">2026-06-01T14:11:51Z</dcterms:created>
  <dcterms:modified xsi:type="dcterms:W3CDTF">2026-06-01T16:15:01Z</dcterms:modified>
</cp:coreProperties>
</file>